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alculations" sheetId="2" state="visible" r:id="rId2"/>
    <sheet name="Humidity Trends" sheetId="3" state="visible" r:id="rId3"/>
    <sheet name="Temperature Impact" sheetId="4" state="visible" r:id="rId4"/>
    <sheet name="System Ac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 °C&quot;"/>
    <numFmt numFmtId="165" formatCode="0.00&quot;%&quot;"/>
    <numFmt numFmtId="166" formatCode="0.00&quot; min&quot;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4"/>
    </font>
    <font>
      <b val="1"/>
    </font>
    <font>
      <b val="1"/>
      <sz val="12"/>
    </font>
    <font>
      <b val="1"/>
      <color rgb="000070C0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5" fillId="3" borderId="0" pivotButton="0" quotePrefix="0" xfId="0"/>
    <xf numFmtId="165" fontId="6" fillId="0" borderId="0" pivotButton="0" quotePrefix="0" xfId="0"/>
    <xf numFmtId="166" fontId="3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Humidity Trends</a:t>
            </a:r>
          </a:p>
        </rich>
      </tx>
    </title>
    <plotArea>
      <lineChart>
        <grouping val="standard"/>
        <ser>
          <idx val="0"/>
          <order val="0"/>
          <spPr>
            <a:ln w="20000"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'Raw Data'!$C$2:$C$143</f>
            </numRef>
          </val>
        </ser>
        <ser>
          <idx val="1"/>
          <order val="1"/>
          <spPr>
            <a:ln w="20000">
              <a:solidFill>
                <a:srgbClr val="FF6B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'Raw Data'!$E$2:$E$143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Humidity (% RH)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Temperature Trends</a:t>
            </a:r>
          </a:p>
        </rich>
      </tx>
    </title>
    <plotArea>
      <lineChart>
        <grouping val="standard"/>
        <ser>
          <idx val="0"/>
          <order val="0"/>
          <spPr>
            <a:ln w="20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'Raw Data'!$D$2:$D$143</f>
            </numRef>
          </val>
        </ser>
        <ser>
          <idx val="1"/>
          <order val="1"/>
          <spPr>
            <a:ln w="20000">
              <a:solidFill>
                <a:srgbClr val="FF99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'Raw Data'!$F$2:$F$143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Fans &amp; Peltier Activity</a:t>
            </a:r>
          </a:p>
        </rich>
      </tx>
    </title>
    <plotArea>
      <lineChart>
        <grouping val="standard"/>
        <ser>
          <idx val="0"/>
          <order val="0"/>
          <spPr>
            <a:ln w="25000">
              <a:solidFill>
                <a:srgbClr val="00B05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'Raw Data'!$G$2:$G$143</f>
            </numRef>
          </val>
        </ser>
        <ser>
          <idx val="1"/>
          <order val="1"/>
          <spPr>
            <a:ln w="25000"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'Raw Data'!$H$2:$H$143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Status (0=OFF, 1=ON)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Timestamp</t>
        </is>
      </c>
      <c r="B1" s="1" t="inlineStr">
        <is>
          <t>Time(ms)</t>
        </is>
      </c>
      <c r="C1" s="1" t="inlineStr">
        <is>
          <t>Humidity1(%)</t>
        </is>
      </c>
      <c r="D1" s="1" t="inlineStr">
        <is>
          <t>Temp1(C)</t>
        </is>
      </c>
      <c r="E1" s="1" t="inlineStr">
        <is>
          <t>Humidity2(%)</t>
        </is>
      </c>
      <c r="F1" s="1" t="inlineStr">
        <is>
          <t>Temp2(C)</t>
        </is>
      </c>
      <c r="G1" s="1" t="inlineStr">
        <is>
          <t>FansRunning</t>
        </is>
      </c>
      <c r="H1" s="1" t="inlineStr">
        <is>
          <t>PeltierOn</t>
        </is>
      </c>
      <c r="I1" s="1" t="inlineStr">
        <is>
          <t>C1_ExhaustValve</t>
        </is>
      </c>
      <c r="J1" s="1" t="inlineStr">
        <is>
          <t>C1_SupplyValve</t>
        </is>
      </c>
      <c r="K1" s="1" t="inlineStr">
        <is>
          <t>C2_ExhaustValve</t>
        </is>
      </c>
      <c r="L1" s="1" t="inlineStr">
        <is>
          <t>C2_SupplyValve</t>
        </is>
      </c>
    </row>
    <row r="2">
      <c r="A2" t="inlineStr">
        <is>
          <t>2025-11-27 01:16:43.988</t>
        </is>
      </c>
      <c r="B2" t="n">
        <v>5959</v>
      </c>
      <c r="C2" t="n">
        <v>81.5</v>
      </c>
      <c r="D2" t="n">
        <v>26.9</v>
      </c>
      <c r="E2" t="n">
        <v>83.40000000000001</v>
      </c>
      <c r="F2" t="n">
        <v>25.8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2025-11-27 01:16:44.329</t>
        </is>
      </c>
      <c r="B3" t="n">
        <v>6297</v>
      </c>
      <c r="C3" t="n">
        <v>81.5</v>
      </c>
      <c r="D3" t="n">
        <v>26.9</v>
      </c>
      <c r="E3" t="n">
        <v>83.40000000000001</v>
      </c>
      <c r="F3" t="n">
        <v>25.8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2025-11-27 01:16:44.653</t>
        </is>
      </c>
      <c r="B4" t="n">
        <v>6624</v>
      </c>
      <c r="C4" t="n">
        <v>81.5</v>
      </c>
      <c r="D4" t="n">
        <v>26.9</v>
      </c>
      <c r="E4" t="n">
        <v>83.40000000000001</v>
      </c>
      <c r="F4" t="n">
        <v>25.8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2025-11-27 01:16:45.023</t>
        </is>
      </c>
      <c r="B5" t="n">
        <v>6995</v>
      </c>
      <c r="C5" t="n">
        <v>82.2</v>
      </c>
      <c r="D5" t="n">
        <v>26.9</v>
      </c>
      <c r="E5" t="n">
        <v>84.40000000000001</v>
      </c>
      <c r="F5" t="n">
        <v>25.8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2025-11-27 01:16:45.350</t>
        </is>
      </c>
      <c r="B6" t="n">
        <v>7322</v>
      </c>
      <c r="C6" t="n">
        <v>82.2</v>
      </c>
      <c r="D6" t="n">
        <v>26.9</v>
      </c>
      <c r="E6" t="n">
        <v>84.40000000000001</v>
      </c>
      <c r="F6" t="n">
        <v>25.8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2025-11-27 01:16:45.677</t>
        </is>
      </c>
      <c r="B7" t="n">
        <v>7649</v>
      </c>
      <c r="C7" t="n">
        <v>82.2</v>
      </c>
      <c r="D7" t="n">
        <v>26.9</v>
      </c>
      <c r="E7" t="n">
        <v>84.40000000000001</v>
      </c>
      <c r="F7" t="n">
        <v>25.8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2025-11-27 01:16:46.048</t>
        </is>
      </c>
      <c r="B8" t="n">
        <v>8020</v>
      </c>
      <c r="C8" t="n">
        <v>81.7</v>
      </c>
      <c r="D8" t="n">
        <v>27</v>
      </c>
      <c r="E8" t="n">
        <v>84.09999999999999</v>
      </c>
      <c r="F8" t="n">
        <v>25.8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2025-11-27 01:16:46.388</t>
        </is>
      </c>
      <c r="B9" t="n">
        <v>8359</v>
      </c>
      <c r="C9" t="n">
        <v>81.7</v>
      </c>
      <c r="D9" t="n">
        <v>27</v>
      </c>
      <c r="E9" t="n">
        <v>84.09999999999999</v>
      </c>
      <c r="F9" t="n">
        <v>25.8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2025-11-27 01:16:46.715</t>
        </is>
      </c>
      <c r="B10" t="n">
        <v>8686</v>
      </c>
      <c r="C10" t="n">
        <v>81.7</v>
      </c>
      <c r="D10" t="n">
        <v>27</v>
      </c>
      <c r="E10" t="n">
        <v>84.09999999999999</v>
      </c>
      <c r="F10" t="n">
        <v>25.8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2025-11-27 01:16:47.085</t>
        </is>
      </c>
      <c r="B11" t="n">
        <v>9058</v>
      </c>
      <c r="C11" t="n">
        <v>81.8</v>
      </c>
      <c r="D11" t="n">
        <v>26.9</v>
      </c>
      <c r="E11" t="n">
        <v>83.90000000000001</v>
      </c>
      <c r="F11" t="n">
        <v>25.8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2025-11-27 01:16:47.417</t>
        </is>
      </c>
      <c r="B12" t="n">
        <v>9385</v>
      </c>
      <c r="C12" t="n">
        <v>81.8</v>
      </c>
      <c r="D12" t="n">
        <v>26.9</v>
      </c>
      <c r="E12" t="n">
        <v>83.90000000000001</v>
      </c>
      <c r="F12" t="n">
        <v>25.8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2025-11-27 01:16:47.740</t>
        </is>
      </c>
      <c r="B13" t="n">
        <v>9712</v>
      </c>
      <c r="C13" t="n">
        <v>81.8</v>
      </c>
      <c r="D13" t="n">
        <v>26.9</v>
      </c>
      <c r="E13" t="n">
        <v>83.90000000000001</v>
      </c>
      <c r="F13" t="n">
        <v>25.8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2025-11-27 01:16:48.112</t>
        </is>
      </c>
      <c r="B14" t="n">
        <v>10084</v>
      </c>
      <c r="C14" t="n">
        <v>81.7</v>
      </c>
      <c r="D14" t="n">
        <v>27</v>
      </c>
      <c r="E14" t="n">
        <v>83.7</v>
      </c>
      <c r="F14" t="n">
        <v>25.8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2025-11-27 01:16:48.465</t>
        </is>
      </c>
      <c r="B15" t="n">
        <v>10432</v>
      </c>
      <c r="C15" t="n">
        <v>81.7</v>
      </c>
      <c r="D15" t="n">
        <v>27</v>
      </c>
      <c r="E15" t="n">
        <v>83.7</v>
      </c>
      <c r="F15" t="n">
        <v>25.8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2025-11-27 01:16:48.791</t>
        </is>
      </c>
      <c r="B16" t="n">
        <v>10759</v>
      </c>
      <c r="C16" t="n">
        <v>81.7</v>
      </c>
      <c r="D16" t="n">
        <v>27</v>
      </c>
      <c r="E16" t="n">
        <v>83.7</v>
      </c>
      <c r="F16" t="n">
        <v>25.8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2025-11-27 01:16:49.158</t>
        </is>
      </c>
      <c r="B17" t="n">
        <v>11131</v>
      </c>
      <c r="C17" t="n">
        <v>81.7</v>
      </c>
      <c r="D17" t="n">
        <v>26.8</v>
      </c>
      <c r="E17" t="n">
        <v>83.7</v>
      </c>
      <c r="F17" t="n">
        <v>25.8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2025-11-27 01:16:49.492</t>
        </is>
      </c>
      <c r="B18" t="n">
        <v>11458</v>
      </c>
      <c r="C18" t="n">
        <v>81.7</v>
      </c>
      <c r="D18" t="n">
        <v>26.8</v>
      </c>
      <c r="E18" t="n">
        <v>83.7</v>
      </c>
      <c r="F18" t="n">
        <v>25.8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2025-11-27 01:16:49.817</t>
        </is>
      </c>
      <c r="B19" t="n">
        <v>11785</v>
      </c>
      <c r="C19" t="n">
        <v>81.7</v>
      </c>
      <c r="D19" t="n">
        <v>26.8</v>
      </c>
      <c r="E19" t="n">
        <v>83.7</v>
      </c>
      <c r="F19" t="n">
        <v>25.8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2025-11-27 01:16:50.185</t>
        </is>
      </c>
      <c r="B20" t="n">
        <v>12157</v>
      </c>
      <c r="C20" t="n">
        <v>81.7</v>
      </c>
      <c r="D20" t="n">
        <v>26.9</v>
      </c>
      <c r="E20" t="n">
        <v>83.7</v>
      </c>
      <c r="F20" t="n">
        <v>25.8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2025-11-27 01:16:50.533</t>
        </is>
      </c>
      <c r="B21" t="n">
        <v>12505</v>
      </c>
      <c r="C21" t="n">
        <v>81.7</v>
      </c>
      <c r="D21" t="n">
        <v>26.9</v>
      </c>
      <c r="E21" t="n">
        <v>83.7</v>
      </c>
      <c r="F21" t="n">
        <v>25.8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2025-11-27 01:16:50.868</t>
        </is>
      </c>
      <c r="B22" t="n">
        <v>12832</v>
      </c>
      <c r="C22" t="n">
        <v>81.7</v>
      </c>
      <c r="D22" t="n">
        <v>26.9</v>
      </c>
      <c r="E22" t="n">
        <v>83.7</v>
      </c>
      <c r="F22" t="n">
        <v>25.8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2025-11-27 01:16:51.231</t>
        </is>
      </c>
      <c r="B23" t="n">
        <v>13204</v>
      </c>
      <c r="C23" t="n">
        <v>81.59999999999999</v>
      </c>
      <c r="D23" t="n">
        <v>27</v>
      </c>
      <c r="E23" t="n">
        <v>83.7</v>
      </c>
      <c r="F23" t="n">
        <v>25.8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2025-11-27 01:16:51.566</t>
        </is>
      </c>
      <c r="B24" t="n">
        <v>13531</v>
      </c>
      <c r="C24" t="n">
        <v>81.59999999999999</v>
      </c>
      <c r="D24" t="n">
        <v>27</v>
      </c>
      <c r="E24" t="n">
        <v>83.7</v>
      </c>
      <c r="F24" t="n">
        <v>25.8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2025-11-27 01:16:51.891</t>
        </is>
      </c>
      <c r="B25" t="n">
        <v>13858</v>
      </c>
      <c r="C25" t="n">
        <v>81.59999999999999</v>
      </c>
      <c r="D25" t="n">
        <v>27</v>
      </c>
      <c r="E25" t="n">
        <v>83.7</v>
      </c>
      <c r="F25" t="n">
        <v>25.8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2025-11-27 01:16:52.258</t>
        </is>
      </c>
      <c r="B26" t="n">
        <v>14229</v>
      </c>
      <c r="C26" t="n">
        <v>81.7</v>
      </c>
      <c r="D26" t="n">
        <v>26.9</v>
      </c>
      <c r="E26" t="n">
        <v>83.59999999999999</v>
      </c>
      <c r="F26" t="n">
        <v>25.8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2025-11-27 01:16:52.607</t>
        </is>
      </c>
      <c r="B27" t="n">
        <v>14578</v>
      </c>
      <c r="C27" t="n">
        <v>81.7</v>
      </c>
      <c r="D27" t="n">
        <v>26.9</v>
      </c>
      <c r="E27" t="n">
        <v>83.59999999999999</v>
      </c>
      <c r="F27" t="n">
        <v>25.8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2025-11-27 01:16:52.937</t>
        </is>
      </c>
      <c r="B28" t="n">
        <v>14905</v>
      </c>
      <c r="C28" t="n">
        <v>81.7</v>
      </c>
      <c r="D28" t="n">
        <v>26.9</v>
      </c>
      <c r="E28" t="n">
        <v>83.59999999999999</v>
      </c>
      <c r="F28" t="n">
        <v>25.8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2025-11-27 01:16:53.305</t>
        </is>
      </c>
      <c r="B29" t="n">
        <v>15276</v>
      </c>
      <c r="C29" t="n">
        <v>81.59999999999999</v>
      </c>
      <c r="D29" t="n">
        <v>27</v>
      </c>
      <c r="E29" t="n">
        <v>83.59999999999999</v>
      </c>
      <c r="F29" t="n">
        <v>25.8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2025-11-27 01:16:53.637</t>
        </is>
      </c>
      <c r="B30" t="n">
        <v>15604</v>
      </c>
      <c r="C30" t="n">
        <v>81.59999999999999</v>
      </c>
      <c r="D30" t="n">
        <v>27</v>
      </c>
      <c r="E30" t="n">
        <v>83.59999999999999</v>
      </c>
      <c r="F30" t="n">
        <v>25.8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2025-11-27 01:16:53.973</t>
        </is>
      </c>
      <c r="B31" t="n">
        <v>15931</v>
      </c>
      <c r="C31" t="n">
        <v>81.59999999999999</v>
      </c>
      <c r="D31" t="n">
        <v>27</v>
      </c>
      <c r="E31" t="n">
        <v>83.59999999999999</v>
      </c>
      <c r="F31" t="n">
        <v>25.8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2025-11-27 01:16:54.332</t>
        </is>
      </c>
      <c r="B32" t="n">
        <v>16303</v>
      </c>
      <c r="C32" t="n">
        <v>81.8</v>
      </c>
      <c r="D32" t="n">
        <v>26.8</v>
      </c>
      <c r="E32" t="n">
        <v>83.7</v>
      </c>
      <c r="F32" t="n">
        <v>25.6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2025-11-27 01:16:54.680</t>
        </is>
      </c>
      <c r="B33" t="n">
        <v>16651</v>
      </c>
      <c r="C33" t="n">
        <v>81.8</v>
      </c>
      <c r="D33" t="n">
        <v>26.8</v>
      </c>
      <c r="E33" t="n">
        <v>83.7</v>
      </c>
      <c r="F33" t="n">
        <v>25.6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2025-11-27 01:16:55.006</t>
        </is>
      </c>
      <c r="B34" t="n">
        <v>16978</v>
      </c>
      <c r="C34" t="n">
        <v>81.8</v>
      </c>
      <c r="D34" t="n">
        <v>26.8</v>
      </c>
      <c r="E34" t="n">
        <v>83.7</v>
      </c>
      <c r="F34" t="n">
        <v>25.6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2025-11-27 01:16:55.377</t>
        </is>
      </c>
      <c r="B35" t="n">
        <v>17349</v>
      </c>
      <c r="C35" t="n">
        <v>81.7</v>
      </c>
      <c r="D35" t="n">
        <v>26.9</v>
      </c>
      <c r="E35" t="n">
        <v>83.59999999999999</v>
      </c>
      <c r="F35" t="n">
        <v>25.8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2025-11-27 01:16:55.706</t>
        </is>
      </c>
      <c r="B36" t="n">
        <v>17677</v>
      </c>
      <c r="C36" t="n">
        <v>81.7</v>
      </c>
      <c r="D36" t="n">
        <v>26.9</v>
      </c>
      <c r="E36" t="n">
        <v>83.59999999999999</v>
      </c>
      <c r="F36" t="n">
        <v>25.8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2025-11-27 01:16:56.032</t>
        </is>
      </c>
      <c r="B37" t="n">
        <v>18004</v>
      </c>
      <c r="C37" t="n">
        <v>81.7</v>
      </c>
      <c r="D37" t="n">
        <v>26.9</v>
      </c>
      <c r="E37" t="n">
        <v>83.59999999999999</v>
      </c>
      <c r="F37" t="n">
        <v>25.8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2025-11-27 01:16:56.407</t>
        </is>
      </c>
      <c r="B38" t="n">
        <v>18375</v>
      </c>
      <c r="C38" t="n">
        <v>81.7</v>
      </c>
      <c r="D38" t="n">
        <v>26.9</v>
      </c>
      <c r="E38" t="n">
        <v>83.59999999999999</v>
      </c>
      <c r="F38" t="n">
        <v>25.8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2025-11-27 01:16:56.757</t>
        </is>
      </c>
      <c r="B39" t="n">
        <v>18724</v>
      </c>
      <c r="C39" t="n">
        <v>81.7</v>
      </c>
      <c r="D39" t="n">
        <v>26.9</v>
      </c>
      <c r="E39" t="n">
        <v>83.59999999999999</v>
      </c>
      <c r="F39" t="n">
        <v>25.8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2025-11-27 01:16:57.080</t>
        </is>
      </c>
      <c r="B40" t="n">
        <v>19051</v>
      </c>
      <c r="C40" t="n">
        <v>81.7</v>
      </c>
      <c r="D40" t="n">
        <v>26.9</v>
      </c>
      <c r="E40" t="n">
        <v>83.59999999999999</v>
      </c>
      <c r="F40" t="n">
        <v>25.8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2025-11-27 01:16:57.452</t>
        </is>
      </c>
      <c r="B41" t="n">
        <v>9422</v>
      </c>
      <c r="C41" t="n">
        <v>81.7</v>
      </c>
      <c r="D41" t="n">
        <v>26.9</v>
      </c>
      <c r="E41" t="n">
        <v>83.59999999999999</v>
      </c>
      <c r="F41" t="n">
        <v>25.8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2025-11-27 01:16:57.779</t>
        </is>
      </c>
      <c r="B42" t="n">
        <v>19750</v>
      </c>
      <c r="C42" t="n">
        <v>81.7</v>
      </c>
      <c r="D42" t="n">
        <v>26.9</v>
      </c>
      <c r="E42" t="n">
        <v>83.59999999999999</v>
      </c>
      <c r="F42" t="n">
        <v>25.8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2025-11-27 01:16:58.106</t>
        </is>
      </c>
      <c r="B43" t="n">
        <v>20077</v>
      </c>
      <c r="C43" t="n">
        <v>81.7</v>
      </c>
      <c r="D43" t="n">
        <v>26.9</v>
      </c>
      <c r="E43" t="n">
        <v>83.59999999999999</v>
      </c>
      <c r="F43" t="n">
        <v>25.8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2025-11-27 01:16:58.476</t>
        </is>
      </c>
      <c r="B44" t="n">
        <v>20448</v>
      </c>
      <c r="C44" t="n">
        <v>81.7</v>
      </c>
      <c r="D44" t="n">
        <v>26.9</v>
      </c>
      <c r="E44" t="n">
        <v>83.59999999999999</v>
      </c>
      <c r="F44" t="n">
        <v>25.8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2025-11-27 01:16:58.825</t>
        </is>
      </c>
      <c r="B45" t="n">
        <v>20797</v>
      </c>
      <c r="C45" t="n">
        <v>81.7</v>
      </c>
      <c r="D45" t="n">
        <v>26.9</v>
      </c>
      <c r="E45" t="n">
        <v>83.59999999999999</v>
      </c>
      <c r="F45" t="n">
        <v>25.8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2025-11-27 01:16:59.152</t>
        </is>
      </c>
      <c r="B46" t="n">
        <v>21124</v>
      </c>
      <c r="C46" t="n">
        <v>81.7</v>
      </c>
      <c r="D46" t="n">
        <v>26.9</v>
      </c>
      <c r="E46" t="n">
        <v>83.59999999999999</v>
      </c>
      <c r="F46" t="n">
        <v>25.8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2025-11-27 01:16:59.523</t>
        </is>
      </c>
      <c r="B47" t="n">
        <v>21495</v>
      </c>
      <c r="C47" t="n">
        <v>81.59999999999999</v>
      </c>
      <c r="D47" t="n">
        <v>27</v>
      </c>
      <c r="E47" t="n">
        <v>83.59999999999999</v>
      </c>
      <c r="F47" t="n">
        <v>25.8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2025-11-27 01:16:59.853</t>
        </is>
      </c>
      <c r="B48" t="n">
        <v>21823</v>
      </c>
      <c r="C48" t="n">
        <v>81.59999999999999</v>
      </c>
      <c r="D48" t="n">
        <v>27</v>
      </c>
      <c r="E48" t="n">
        <v>83.59999999999999</v>
      </c>
      <c r="F48" t="n">
        <v>25.8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2025-11-27 01:17:00.183</t>
        </is>
      </c>
      <c r="B49" t="n">
        <v>22150</v>
      </c>
      <c r="C49" t="n">
        <v>81.59999999999999</v>
      </c>
      <c r="D49" t="n">
        <v>27</v>
      </c>
      <c r="E49" t="n">
        <v>83.59999999999999</v>
      </c>
      <c r="F49" t="n">
        <v>25.8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2025-11-27 01:17:00.550</t>
        </is>
      </c>
      <c r="B50" t="n">
        <v>22521</v>
      </c>
      <c r="C50" t="n">
        <v>81.7</v>
      </c>
      <c r="D50" t="n">
        <v>26.9</v>
      </c>
      <c r="E50" t="n">
        <v>83.59999999999999</v>
      </c>
      <c r="F50" t="n">
        <v>25.8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2025-11-27 01:17:00.899</t>
        </is>
      </c>
      <c r="B51" t="n">
        <v>22870</v>
      </c>
      <c r="C51" t="n">
        <v>81.7</v>
      </c>
      <c r="D51" t="n">
        <v>26.9</v>
      </c>
      <c r="E51" t="n">
        <v>83.59999999999999</v>
      </c>
      <c r="F51" t="n">
        <v>25.8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2025-11-27 01:17:01.226</t>
        </is>
      </c>
      <c r="B52" t="n">
        <v>23197</v>
      </c>
      <c r="C52" t="n">
        <v>81.7</v>
      </c>
      <c r="D52" t="n">
        <v>26.9</v>
      </c>
      <c r="E52" t="n">
        <v>83.59999999999999</v>
      </c>
      <c r="F52" t="n">
        <v>25.8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2025-11-27 01:17:01.601</t>
        </is>
      </c>
      <c r="B53" t="n">
        <v>23568</v>
      </c>
      <c r="C53" t="n">
        <v>81.7</v>
      </c>
      <c r="D53" t="n">
        <v>26.9</v>
      </c>
      <c r="E53" t="n">
        <v>83.59999999999999</v>
      </c>
      <c r="F53" t="n">
        <v>25.8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2025-11-27 01:17:01.929</t>
        </is>
      </c>
      <c r="B54" t="n">
        <v>23896</v>
      </c>
      <c r="C54" t="n">
        <v>81.7</v>
      </c>
      <c r="D54" t="n">
        <v>26.9</v>
      </c>
      <c r="E54" t="n">
        <v>83.59999999999999</v>
      </c>
      <c r="F54" t="n">
        <v>25.8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2025-11-27 01:17:02.252</t>
        </is>
      </c>
      <c r="B55" t="n">
        <v>24223</v>
      </c>
      <c r="C55" t="n">
        <v>81.7</v>
      </c>
      <c r="D55" t="n">
        <v>26.9</v>
      </c>
      <c r="E55" t="n">
        <v>83.59999999999999</v>
      </c>
      <c r="F55" t="n">
        <v>25.8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2025-11-27 01:17:02.623</t>
        </is>
      </c>
      <c r="B56" t="n">
        <v>24594</v>
      </c>
      <c r="C56" t="n">
        <v>81.59999999999999</v>
      </c>
      <c r="D56" t="n">
        <v>27</v>
      </c>
      <c r="E56" t="n">
        <v>83.59999999999999</v>
      </c>
      <c r="F56" t="n">
        <v>25.8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2025-11-27 01:17:02.972</t>
        </is>
      </c>
      <c r="B57" t="n">
        <v>24943</v>
      </c>
      <c r="C57" t="n">
        <v>81.59999999999999</v>
      </c>
      <c r="D57" t="n">
        <v>27</v>
      </c>
      <c r="E57" t="n">
        <v>83.59999999999999</v>
      </c>
      <c r="F57" t="n">
        <v>25.8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2025-11-27 01:17:03.299</t>
        </is>
      </c>
      <c r="B58" t="n">
        <v>25270</v>
      </c>
      <c r="C58" t="n">
        <v>81.59999999999999</v>
      </c>
      <c r="D58" t="n">
        <v>27</v>
      </c>
      <c r="E58" t="n">
        <v>83.59999999999999</v>
      </c>
      <c r="F58" t="n">
        <v>25.8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2025-11-27 01:17:03.670</t>
        </is>
      </c>
      <c r="B59" t="n">
        <v>25641</v>
      </c>
      <c r="C59" t="n">
        <v>81.7</v>
      </c>
      <c r="D59" t="n">
        <v>26.9</v>
      </c>
      <c r="E59" t="n">
        <v>83.59999999999999</v>
      </c>
      <c r="F59" t="n">
        <v>25.8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2025-11-27 01:17:03.997</t>
        </is>
      </c>
      <c r="B60" t="n">
        <v>25969</v>
      </c>
      <c r="C60" t="n">
        <v>81.7</v>
      </c>
      <c r="D60" t="n">
        <v>26.9</v>
      </c>
      <c r="E60" t="n">
        <v>83.59999999999999</v>
      </c>
      <c r="F60" t="n">
        <v>25.8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2025-11-27 01:17:04.324</t>
        </is>
      </c>
      <c r="B61" t="n">
        <v>26296</v>
      </c>
      <c r="C61" t="n">
        <v>81.7</v>
      </c>
      <c r="D61" t="n">
        <v>26.9</v>
      </c>
      <c r="E61" t="n">
        <v>83.59999999999999</v>
      </c>
      <c r="F61" t="n">
        <v>25.8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2025-11-27 01:17:04.697</t>
        </is>
      </c>
      <c r="B62" t="n">
        <v>26667</v>
      </c>
      <c r="C62" t="n">
        <v>81.59999999999999</v>
      </c>
      <c r="D62" t="n">
        <v>27</v>
      </c>
      <c r="E62" t="n">
        <v>83.40000000000001</v>
      </c>
      <c r="F62" t="n">
        <v>25.8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2025-11-27 01:17:05.045</t>
        </is>
      </c>
      <c r="B63" t="n">
        <v>27016</v>
      </c>
      <c r="C63" t="n">
        <v>81.59999999999999</v>
      </c>
      <c r="D63" t="n">
        <v>27</v>
      </c>
      <c r="E63" t="n">
        <v>83.40000000000001</v>
      </c>
      <c r="F63" t="n">
        <v>25.8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2025-11-27 01:17:05.371</t>
        </is>
      </c>
      <c r="B64" t="n">
        <v>27343</v>
      </c>
      <c r="C64" t="n">
        <v>81.59999999999999</v>
      </c>
      <c r="D64" t="n">
        <v>27</v>
      </c>
      <c r="E64" t="n">
        <v>83.40000000000001</v>
      </c>
      <c r="F64" t="n">
        <v>25.8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2025-11-27 01:17:05.745</t>
        </is>
      </c>
      <c r="B65" t="n">
        <v>27714</v>
      </c>
      <c r="C65" t="n">
        <v>81.59999999999999</v>
      </c>
      <c r="D65" t="n">
        <v>27</v>
      </c>
      <c r="E65" t="n">
        <v>83.59999999999999</v>
      </c>
      <c r="F65" t="n">
        <v>25.8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2025-11-27 01:17:06.075</t>
        </is>
      </c>
      <c r="B66" t="n">
        <v>28042</v>
      </c>
      <c r="C66" t="n">
        <v>81.59999999999999</v>
      </c>
      <c r="D66" t="n">
        <v>27</v>
      </c>
      <c r="E66" t="n">
        <v>83.59999999999999</v>
      </c>
      <c r="F66" t="n">
        <v>25.8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2025-11-27 01:17:06.398</t>
        </is>
      </c>
      <c r="B67" t="n">
        <v>28369</v>
      </c>
      <c r="C67" t="n">
        <v>81.59999999999999</v>
      </c>
      <c r="D67" t="n">
        <v>27</v>
      </c>
      <c r="E67" t="n">
        <v>83.59999999999999</v>
      </c>
      <c r="F67" t="n">
        <v>25.8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2025-11-27 01:17:06.770</t>
        </is>
      </c>
      <c r="B68" t="n">
        <v>28741</v>
      </c>
      <c r="C68" t="n">
        <v>81.59999999999999</v>
      </c>
      <c r="D68" t="n">
        <v>27</v>
      </c>
      <c r="E68" t="n">
        <v>83.59999999999999</v>
      </c>
      <c r="F68" t="n">
        <v>25.9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2025-11-27 01:17:07.118</t>
        </is>
      </c>
      <c r="B69" t="n">
        <v>29089</v>
      </c>
      <c r="C69" t="n">
        <v>81.59999999999999</v>
      </c>
      <c r="D69" t="n">
        <v>27</v>
      </c>
      <c r="E69" t="n">
        <v>83.59999999999999</v>
      </c>
      <c r="F69" t="n">
        <v>25.9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2025-11-27 01:17:07.450</t>
        </is>
      </c>
      <c r="B70" t="n">
        <v>29416</v>
      </c>
      <c r="C70" t="n">
        <v>81.59999999999999</v>
      </c>
      <c r="D70" t="n">
        <v>27</v>
      </c>
      <c r="E70" t="n">
        <v>83.59999999999999</v>
      </c>
      <c r="F70" t="n">
        <v>25.9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2025-11-27 01:17:07.816</t>
        </is>
      </c>
      <c r="B71" t="n">
        <v>29787</v>
      </c>
      <c r="C71" t="n">
        <v>81.7</v>
      </c>
      <c r="D71" t="n">
        <v>26.9</v>
      </c>
      <c r="E71" t="n">
        <v>83.59999999999999</v>
      </c>
      <c r="F71" t="n">
        <v>25.8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2025-11-27 01:17:08.144</t>
        </is>
      </c>
      <c r="B72" t="n">
        <v>30115</v>
      </c>
      <c r="C72" t="n">
        <v>81.7</v>
      </c>
      <c r="D72" t="n">
        <v>26.9</v>
      </c>
      <c r="E72" t="n">
        <v>83.59999999999999</v>
      </c>
      <c r="F72" t="n">
        <v>25.8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2025-11-27 01:17:08.471</t>
        </is>
      </c>
      <c r="B73" t="n">
        <v>30442</v>
      </c>
      <c r="C73" t="n">
        <v>81.7</v>
      </c>
      <c r="D73" t="n">
        <v>26.9</v>
      </c>
      <c r="E73" t="n">
        <v>83.59999999999999</v>
      </c>
      <c r="F73" t="n">
        <v>25.8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2025-11-27 01:17:08.845</t>
        </is>
      </c>
      <c r="B74" t="n">
        <v>30813</v>
      </c>
      <c r="C74" t="n">
        <v>81.7</v>
      </c>
      <c r="D74" t="n">
        <v>26.8</v>
      </c>
      <c r="E74" t="n">
        <v>83.59999999999999</v>
      </c>
      <c r="F74" t="n">
        <v>25.8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2025-11-27 01:17:09.194</t>
        </is>
      </c>
      <c r="B75" t="n">
        <v>31162</v>
      </c>
      <c r="C75" t="n">
        <v>81.7</v>
      </c>
      <c r="D75" t="n">
        <v>26.8</v>
      </c>
      <c r="E75" t="n">
        <v>83.59999999999999</v>
      </c>
      <c r="F75" t="n">
        <v>25.8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2025-11-27 01:17:09.523</t>
        </is>
      </c>
      <c r="B76" t="n">
        <v>31489</v>
      </c>
      <c r="C76" t="n">
        <v>81.7</v>
      </c>
      <c r="D76" t="n">
        <v>26.8</v>
      </c>
      <c r="E76" t="n">
        <v>83.59999999999999</v>
      </c>
      <c r="F76" t="n">
        <v>25.8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2025-11-27 01:17:09.892</t>
        </is>
      </c>
      <c r="B77" t="n">
        <v>31860</v>
      </c>
      <c r="C77" t="n">
        <v>81.7</v>
      </c>
      <c r="D77" t="n">
        <v>26.9</v>
      </c>
      <c r="E77" t="n">
        <v>83.59999999999999</v>
      </c>
      <c r="F77" t="n">
        <v>25.8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2025-11-27 01:17:10.218</t>
        </is>
      </c>
      <c r="B78" t="n">
        <v>32188</v>
      </c>
      <c r="C78" t="n">
        <v>81.7</v>
      </c>
      <c r="D78" t="n">
        <v>26.9</v>
      </c>
      <c r="E78" t="n">
        <v>83.59999999999999</v>
      </c>
      <c r="F78" t="n">
        <v>25.8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2025-11-27 01:17:10.544</t>
        </is>
      </c>
      <c r="B79" t="n">
        <v>32515</v>
      </c>
      <c r="C79" t="n">
        <v>81.7</v>
      </c>
      <c r="D79" t="n">
        <v>26.9</v>
      </c>
      <c r="E79" t="n">
        <v>83.59999999999999</v>
      </c>
      <c r="F79" t="n">
        <v>25.8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2025-11-27 01:17:10.915</t>
        </is>
      </c>
      <c r="B80" t="n">
        <v>32887</v>
      </c>
      <c r="C80" t="n">
        <v>81.7</v>
      </c>
      <c r="D80" t="n">
        <v>26.9</v>
      </c>
      <c r="E80" t="n">
        <v>83.59999999999999</v>
      </c>
      <c r="F80" t="n">
        <v>25.9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2025-11-27 01:17:11.264</t>
        </is>
      </c>
      <c r="B81" t="n">
        <v>33235</v>
      </c>
      <c r="C81" t="n">
        <v>81.7</v>
      </c>
      <c r="D81" t="n">
        <v>26.9</v>
      </c>
      <c r="E81" t="n">
        <v>83.59999999999999</v>
      </c>
      <c r="F81" t="n">
        <v>25.9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2025-11-27 01:17:11.591</t>
        </is>
      </c>
      <c r="B82" t="n">
        <v>33562</v>
      </c>
      <c r="C82" t="n">
        <v>81.7</v>
      </c>
      <c r="D82" t="n">
        <v>26.9</v>
      </c>
      <c r="E82" t="n">
        <v>83.59999999999999</v>
      </c>
      <c r="F82" t="n">
        <v>25.9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2025-11-27 01:17:11.966</t>
        </is>
      </c>
      <c r="B83" t="n">
        <v>33933</v>
      </c>
      <c r="C83" t="n">
        <v>81.7</v>
      </c>
      <c r="D83" t="n">
        <v>26.9</v>
      </c>
      <c r="E83" t="n">
        <v>83.40000000000001</v>
      </c>
      <c r="F83" t="n">
        <v>25.9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2025-11-27 01:17:12.291</t>
        </is>
      </c>
      <c r="B84" t="n">
        <v>34261</v>
      </c>
      <c r="C84" t="n">
        <v>81.7</v>
      </c>
      <c r="D84" t="n">
        <v>26.9</v>
      </c>
      <c r="E84" t="n">
        <v>83.40000000000001</v>
      </c>
      <c r="F84" t="n">
        <v>25.9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2025-11-27 01:17:12.618</t>
        </is>
      </c>
      <c r="B85" t="n">
        <v>34588</v>
      </c>
      <c r="C85" t="n">
        <v>81.7</v>
      </c>
      <c r="D85" t="n">
        <v>26.9</v>
      </c>
      <c r="E85" t="n">
        <v>83.40000000000001</v>
      </c>
      <c r="F85" t="n">
        <v>25.9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2025-11-27 01:17:12.988</t>
        </is>
      </c>
      <c r="B86" t="n">
        <v>34959</v>
      </c>
      <c r="C86" t="n">
        <v>81.7</v>
      </c>
      <c r="D86" t="n">
        <v>26.8</v>
      </c>
      <c r="E86" t="n">
        <v>83.2</v>
      </c>
      <c r="F86" t="n">
        <v>25.9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2025-11-27 01:17:13.337</t>
        </is>
      </c>
      <c r="B87" t="n">
        <v>35308</v>
      </c>
      <c r="C87" t="n">
        <v>81.7</v>
      </c>
      <c r="D87" t="n">
        <v>26.8</v>
      </c>
      <c r="E87" t="n">
        <v>83.2</v>
      </c>
      <c r="F87" t="n">
        <v>25.9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2025-11-27 01:17:13.664</t>
        </is>
      </c>
      <c r="B88" t="n">
        <v>35635</v>
      </c>
      <c r="C88" t="n">
        <v>81.7</v>
      </c>
      <c r="D88" t="n">
        <v>26.8</v>
      </c>
      <c r="E88" t="n">
        <v>83.2</v>
      </c>
      <c r="F88" t="n">
        <v>25.9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2025-11-27 01:17:14.034</t>
        </is>
      </c>
      <c r="B89" t="n">
        <v>36006</v>
      </c>
      <c r="C89" t="n">
        <v>81.7</v>
      </c>
      <c r="D89" t="n">
        <v>26.8</v>
      </c>
      <c r="E89" t="n">
        <v>83.40000000000001</v>
      </c>
      <c r="F89" t="n">
        <v>25.8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2025-11-27 01:17:14.362</t>
        </is>
      </c>
      <c r="B90" t="n">
        <v>36333</v>
      </c>
      <c r="C90" t="n">
        <v>81.7</v>
      </c>
      <c r="D90" t="n">
        <v>26.8</v>
      </c>
      <c r="E90" t="n">
        <v>83.40000000000001</v>
      </c>
      <c r="F90" t="n">
        <v>25.8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2025-11-27 01:17:14.689</t>
        </is>
      </c>
      <c r="B91" t="n">
        <v>36660</v>
      </c>
      <c r="C91" t="n">
        <v>81.7</v>
      </c>
      <c r="D91" t="n">
        <v>26.8</v>
      </c>
      <c r="E91" t="n">
        <v>83.40000000000001</v>
      </c>
      <c r="F91" t="n">
        <v>25.8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2025-11-27 01:17:15.060</t>
        </is>
      </c>
      <c r="B92" t="n">
        <v>37031</v>
      </c>
      <c r="C92" t="n">
        <v>81.7</v>
      </c>
      <c r="D92" t="n">
        <v>26.9</v>
      </c>
      <c r="E92" t="n">
        <v>83.59999999999999</v>
      </c>
      <c r="F92" t="n">
        <v>25.8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2025-11-27 01:17:15.409</t>
        </is>
      </c>
      <c r="B93" t="n">
        <v>37380</v>
      </c>
      <c r="C93" t="n">
        <v>81.7</v>
      </c>
      <c r="D93" t="n">
        <v>26.9</v>
      </c>
      <c r="E93" t="n">
        <v>83.59999999999999</v>
      </c>
      <c r="F93" t="n">
        <v>25.8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2025-11-27 01:17:15.736</t>
        </is>
      </c>
      <c r="B94" t="n">
        <v>37707</v>
      </c>
      <c r="C94" t="n">
        <v>81.7</v>
      </c>
      <c r="D94" t="n">
        <v>26.9</v>
      </c>
      <c r="E94" t="n">
        <v>83.59999999999999</v>
      </c>
      <c r="F94" t="n">
        <v>25.8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2025-11-27 01:17:16.112</t>
        </is>
      </c>
      <c r="B95" t="n">
        <v>38079</v>
      </c>
      <c r="C95" t="n">
        <v>81.7</v>
      </c>
      <c r="D95" t="n">
        <v>26.9</v>
      </c>
      <c r="E95" t="n">
        <v>83.59999999999999</v>
      </c>
      <c r="F95" t="n">
        <v>25.9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2025-11-27 01:17:16.435</t>
        </is>
      </c>
      <c r="B96" t="n">
        <v>38406</v>
      </c>
      <c r="C96" t="n">
        <v>81.7</v>
      </c>
      <c r="D96" t="n">
        <v>26.9</v>
      </c>
      <c r="E96" t="n">
        <v>83.59999999999999</v>
      </c>
      <c r="F96" t="n">
        <v>25.9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2025-11-27 01:17:16.762</t>
        </is>
      </c>
      <c r="B97" t="n">
        <v>38733</v>
      </c>
      <c r="C97" t="n">
        <v>81.7</v>
      </c>
      <c r="D97" t="n">
        <v>26.9</v>
      </c>
      <c r="E97" t="n">
        <v>83.59999999999999</v>
      </c>
      <c r="F97" t="n">
        <v>25.9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2025-11-27 01:17:17.137</t>
        </is>
      </c>
      <c r="B98" t="n">
        <v>39104</v>
      </c>
      <c r="C98" t="n">
        <v>81.59999999999999</v>
      </c>
      <c r="D98" t="n">
        <v>27</v>
      </c>
      <c r="E98" t="n">
        <v>83.40000000000001</v>
      </c>
      <c r="F98" t="n">
        <v>25.9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2025-11-27 01:17:17.484</t>
        </is>
      </c>
      <c r="B99" t="n">
        <v>39453</v>
      </c>
      <c r="C99" t="n">
        <v>81.59999999999999</v>
      </c>
      <c r="D99" t="n">
        <v>27</v>
      </c>
      <c r="E99" t="n">
        <v>83.40000000000001</v>
      </c>
      <c r="F99" t="n">
        <v>25.9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2025-11-27 01:17:17.818</t>
        </is>
      </c>
      <c r="B100" t="n">
        <v>39780</v>
      </c>
      <c r="C100" t="n">
        <v>81.59999999999999</v>
      </c>
      <c r="D100" t="n">
        <v>27</v>
      </c>
      <c r="E100" t="n">
        <v>83.40000000000001</v>
      </c>
      <c r="F100" t="n">
        <v>25.9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2025-11-27 01:17:18.185</t>
        </is>
      </c>
      <c r="B101" t="n">
        <v>40151</v>
      </c>
      <c r="C101" t="n">
        <v>81.7</v>
      </c>
      <c r="D101" t="n">
        <v>26.9</v>
      </c>
      <c r="E101" t="n">
        <v>83.40000000000001</v>
      </c>
      <c r="F101" t="n">
        <v>25.8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2025-11-27 01:17:18.507</t>
        </is>
      </c>
      <c r="B102" t="n">
        <v>40478</v>
      </c>
      <c r="C102" t="n">
        <v>81.7</v>
      </c>
      <c r="D102" t="n">
        <v>26.9</v>
      </c>
      <c r="E102" t="n">
        <v>83.40000000000001</v>
      </c>
      <c r="F102" t="n">
        <v>25.8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2025-11-27 01:17:18.834</t>
        </is>
      </c>
      <c r="B103" t="n">
        <v>40805</v>
      </c>
      <c r="C103" t="n">
        <v>81.7</v>
      </c>
      <c r="D103" t="n">
        <v>26.9</v>
      </c>
      <c r="E103" t="n">
        <v>83.40000000000001</v>
      </c>
      <c r="F103" t="n">
        <v>25.8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2025-11-27 01:17:19.205</t>
        </is>
      </c>
      <c r="B104" t="n">
        <v>41176</v>
      </c>
      <c r="C104" t="n">
        <v>81.7</v>
      </c>
      <c r="D104" t="n">
        <v>26.9</v>
      </c>
      <c r="E104" t="n">
        <v>83.40000000000001</v>
      </c>
      <c r="F104" t="n">
        <v>25.9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2025-11-27 01:17:19.554</t>
        </is>
      </c>
      <c r="B105" t="n">
        <v>41525</v>
      </c>
      <c r="C105" t="n">
        <v>81.7</v>
      </c>
      <c r="D105" t="n">
        <v>26.9</v>
      </c>
      <c r="E105" t="n">
        <v>83.40000000000001</v>
      </c>
      <c r="F105" t="n">
        <v>25.9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2025-11-27 01:17:19.881</t>
        </is>
      </c>
      <c r="B106" t="n">
        <v>41852</v>
      </c>
      <c r="C106" t="n">
        <v>81.7</v>
      </c>
      <c r="D106" t="n">
        <v>26.9</v>
      </c>
      <c r="E106" t="n">
        <v>83.40000000000001</v>
      </c>
      <c r="F106" t="n">
        <v>25.9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2025-11-27 01:17:20.252</t>
        </is>
      </c>
      <c r="B107" t="n">
        <v>42223</v>
      </c>
      <c r="C107" t="n">
        <v>81.5</v>
      </c>
      <c r="D107" t="n">
        <v>26.9</v>
      </c>
      <c r="E107" t="n">
        <v>83.40000000000001</v>
      </c>
      <c r="F107" t="n">
        <v>25.8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2025-11-27 01:17:20.579</t>
        </is>
      </c>
      <c r="B108" t="n">
        <v>42550</v>
      </c>
      <c r="C108" t="n">
        <v>81.5</v>
      </c>
      <c r="D108" t="n">
        <v>26.9</v>
      </c>
      <c r="E108" t="n">
        <v>83.40000000000001</v>
      </c>
      <c r="F108" t="n">
        <v>25.8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2025-11-27 01:17:20.923</t>
        </is>
      </c>
      <c r="B109" t="n">
        <v>42877</v>
      </c>
      <c r="C109" t="n">
        <v>81.5</v>
      </c>
      <c r="D109" t="n">
        <v>26.9</v>
      </c>
      <c r="E109" t="n">
        <v>83.40000000000001</v>
      </c>
      <c r="F109" t="n">
        <v>25.8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2025-11-27 01:17:21.277</t>
        </is>
      </c>
      <c r="B110" t="n">
        <v>43248</v>
      </c>
      <c r="C110" t="n">
        <v>81.7</v>
      </c>
      <c r="D110" t="n">
        <v>26.9</v>
      </c>
      <c r="E110" t="n">
        <v>83.40000000000001</v>
      </c>
      <c r="F110" t="n">
        <v>25.8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2025-11-27 01:17:21.626</t>
        </is>
      </c>
      <c r="B111" t="n">
        <v>43597</v>
      </c>
      <c r="C111" t="n">
        <v>81.7</v>
      </c>
      <c r="D111" t="n">
        <v>26.9</v>
      </c>
      <c r="E111" t="n">
        <v>83.40000000000001</v>
      </c>
      <c r="F111" t="n">
        <v>25.8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2025-11-27 01:17:21.953</t>
        </is>
      </c>
      <c r="B112" t="n">
        <v>43924</v>
      </c>
      <c r="C112" t="n">
        <v>81.7</v>
      </c>
      <c r="D112" t="n">
        <v>26.9</v>
      </c>
      <c r="E112" t="n">
        <v>83.40000000000001</v>
      </c>
      <c r="F112" t="n">
        <v>25.8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2025-11-27 01:17:22.325</t>
        </is>
      </c>
      <c r="B113" t="n">
        <v>44295</v>
      </c>
      <c r="C113" t="n">
        <v>81.7</v>
      </c>
      <c r="D113" t="n">
        <v>26.9</v>
      </c>
      <c r="E113" t="n">
        <v>83.40000000000001</v>
      </c>
      <c r="F113" t="n">
        <v>25.9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2025-11-27 01:17:22.652</t>
        </is>
      </c>
      <c r="B114" t="n">
        <v>44623</v>
      </c>
      <c r="C114" t="n">
        <v>81.7</v>
      </c>
      <c r="D114" t="n">
        <v>26.9</v>
      </c>
      <c r="E114" t="n">
        <v>83.40000000000001</v>
      </c>
      <c r="F114" t="n">
        <v>25.9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2025-11-27 01:17:22.979</t>
        </is>
      </c>
      <c r="B115" t="n">
        <v>44950</v>
      </c>
      <c r="C115" t="n">
        <v>81.7</v>
      </c>
      <c r="D115" t="n">
        <v>26.9</v>
      </c>
      <c r="E115" t="n">
        <v>83.40000000000001</v>
      </c>
      <c r="F115" t="n">
        <v>25.9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2025-11-27 01:17:23.350</t>
        </is>
      </c>
      <c r="B116" t="n">
        <v>45321</v>
      </c>
      <c r="C116" t="n">
        <v>81.5</v>
      </c>
      <c r="D116" t="n">
        <v>26.9</v>
      </c>
      <c r="E116" t="n">
        <v>83.40000000000001</v>
      </c>
      <c r="F116" t="n">
        <v>25.8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2025-11-27 01:17:23.699</t>
        </is>
      </c>
      <c r="B117" t="n">
        <v>45670</v>
      </c>
      <c r="C117" t="n">
        <v>81.5</v>
      </c>
      <c r="D117" t="n">
        <v>26.9</v>
      </c>
      <c r="E117" t="n">
        <v>83.40000000000001</v>
      </c>
      <c r="F117" t="n">
        <v>25.8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2025-11-27 01:17:24.027</t>
        </is>
      </c>
      <c r="B118" t="n">
        <v>45997</v>
      </c>
      <c r="C118" t="n">
        <v>81.5</v>
      </c>
      <c r="D118" t="n">
        <v>26.9</v>
      </c>
      <c r="E118" t="n">
        <v>83.40000000000001</v>
      </c>
      <c r="F118" t="n">
        <v>25.8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2025-11-27 01:17:24.403</t>
        </is>
      </c>
      <c r="B119" t="n">
        <v>46368</v>
      </c>
      <c r="C119" t="n">
        <v>81.7</v>
      </c>
      <c r="D119" t="n">
        <v>26.8</v>
      </c>
      <c r="E119" t="n">
        <v>83.40000000000001</v>
      </c>
      <c r="F119" t="n">
        <v>25.8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2025-11-27 01:17:24.728</t>
        </is>
      </c>
      <c r="B120" t="n">
        <v>46695</v>
      </c>
      <c r="C120" t="n">
        <v>81.7</v>
      </c>
      <c r="D120" t="n">
        <v>26.8</v>
      </c>
      <c r="E120" t="n">
        <v>83.40000000000001</v>
      </c>
      <c r="F120" t="n">
        <v>25.8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2025-11-27 01:17:25.055</t>
        </is>
      </c>
      <c r="B121" t="n">
        <v>47022</v>
      </c>
      <c r="C121" t="n">
        <v>81.7</v>
      </c>
      <c r="D121" t="n">
        <v>26.8</v>
      </c>
      <c r="E121" t="n">
        <v>83.40000000000001</v>
      </c>
      <c r="F121" t="n">
        <v>25.8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2025-11-27 01:17:25.429</t>
        </is>
      </c>
      <c r="B122" t="n">
        <v>47393</v>
      </c>
      <c r="C122" t="n">
        <v>81.7</v>
      </c>
      <c r="D122" t="n">
        <v>26.9</v>
      </c>
      <c r="E122" t="n">
        <v>83.40000000000001</v>
      </c>
      <c r="F122" t="n">
        <v>25.9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2025-11-27 01:17:25.777</t>
        </is>
      </c>
      <c r="B123" t="n">
        <v>47742</v>
      </c>
      <c r="C123" t="n">
        <v>81.7</v>
      </c>
      <c r="D123" t="n">
        <v>26.9</v>
      </c>
      <c r="E123" t="n">
        <v>83.40000000000001</v>
      </c>
      <c r="F123" t="n">
        <v>25.9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2025-11-27 01:17:26.103</t>
        </is>
      </c>
      <c r="B124" t="n">
        <v>48069</v>
      </c>
      <c r="C124" t="n">
        <v>81.7</v>
      </c>
      <c r="D124" t="n">
        <v>26.9</v>
      </c>
      <c r="E124" t="n">
        <v>83.40000000000001</v>
      </c>
      <c r="F124" t="n">
        <v>25.9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2025-11-27 01:17:26.483</t>
        </is>
      </c>
      <c r="B125" t="n">
        <v>48440</v>
      </c>
      <c r="C125" t="n">
        <v>81.7</v>
      </c>
      <c r="D125" t="n">
        <v>26.9</v>
      </c>
      <c r="E125" t="n">
        <v>83.40000000000001</v>
      </c>
      <c r="F125" t="n">
        <v>25.9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2025-11-27 01:17:26.797</t>
        </is>
      </c>
      <c r="B126" t="n">
        <v>48768</v>
      </c>
      <c r="C126" t="n">
        <v>81.7</v>
      </c>
      <c r="D126" t="n">
        <v>26.9</v>
      </c>
      <c r="E126" t="n">
        <v>83.40000000000001</v>
      </c>
      <c r="F126" t="n">
        <v>25.9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2025-11-27 01:17:27.129</t>
        </is>
      </c>
      <c r="B127" t="n">
        <v>49095</v>
      </c>
      <c r="C127" t="n">
        <v>81.7</v>
      </c>
      <c r="D127" t="n">
        <v>26.9</v>
      </c>
      <c r="E127" t="n">
        <v>83.40000000000001</v>
      </c>
      <c r="F127" t="n">
        <v>25.9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2025-11-27 01:17:27.501</t>
        </is>
      </c>
      <c r="B128" t="n">
        <v>49466</v>
      </c>
      <c r="C128" t="n">
        <v>81.7</v>
      </c>
      <c r="D128" t="n">
        <v>26.8</v>
      </c>
      <c r="E128" t="n">
        <v>83.40000000000001</v>
      </c>
      <c r="F128" t="n">
        <v>25.9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2025-11-27 01:17:27.844</t>
        </is>
      </c>
      <c r="B129" t="n">
        <v>49815</v>
      </c>
      <c r="C129" t="n">
        <v>81.7</v>
      </c>
      <c r="D129" t="n">
        <v>26.8</v>
      </c>
      <c r="E129" t="n">
        <v>83.40000000000001</v>
      </c>
      <c r="F129" t="n">
        <v>25.9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2025-11-27 01:17:28.171</t>
        </is>
      </c>
      <c r="B130" t="n">
        <v>50142</v>
      </c>
      <c r="C130" t="n">
        <v>81.7</v>
      </c>
      <c r="D130" t="n">
        <v>26.8</v>
      </c>
      <c r="E130" t="n">
        <v>83.40000000000001</v>
      </c>
      <c r="F130" t="n">
        <v>25.9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2025-11-27 01:17:28.546</t>
        </is>
      </c>
      <c r="B131" t="n">
        <v>50513</v>
      </c>
      <c r="C131" t="n">
        <v>81.59999999999999</v>
      </c>
      <c r="D131" t="n">
        <v>27</v>
      </c>
      <c r="E131" t="n">
        <v>83.40000000000001</v>
      </c>
      <c r="F131" t="n">
        <v>25.9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2025-11-27 01:17:28.876</t>
        </is>
      </c>
      <c r="B132" t="n">
        <v>50841</v>
      </c>
      <c r="C132" t="n">
        <v>81.59999999999999</v>
      </c>
      <c r="D132" t="n">
        <v>27</v>
      </c>
      <c r="E132" t="n">
        <v>83.40000000000001</v>
      </c>
      <c r="F132" t="n">
        <v>25.9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2025-11-27 01:17:29.199</t>
        </is>
      </c>
      <c r="B133" t="n">
        <v>51168</v>
      </c>
      <c r="C133" t="n">
        <v>81.59999999999999</v>
      </c>
      <c r="D133" t="n">
        <v>27</v>
      </c>
      <c r="E133" t="n">
        <v>83.40000000000001</v>
      </c>
      <c r="F133" t="n">
        <v>25.9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2025-11-27 01:17:29.574</t>
        </is>
      </c>
      <c r="B134" t="n">
        <v>51539</v>
      </c>
      <c r="C134" t="n">
        <v>81.7</v>
      </c>
      <c r="D134" t="n">
        <v>26.9</v>
      </c>
      <c r="E134" t="n">
        <v>83.40000000000001</v>
      </c>
      <c r="F134" t="n">
        <v>25.8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2025-11-27 01:17:29.920</t>
        </is>
      </c>
      <c r="B135" t="n">
        <v>51888</v>
      </c>
      <c r="C135" t="n">
        <v>81.7</v>
      </c>
      <c r="D135" t="n">
        <v>26.9</v>
      </c>
      <c r="E135" t="n">
        <v>83.40000000000001</v>
      </c>
      <c r="F135" t="n">
        <v>25.8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2025-11-27 01:17:30.244</t>
        </is>
      </c>
      <c r="B136" t="n">
        <v>52215</v>
      </c>
      <c r="C136" t="n">
        <v>81.7</v>
      </c>
      <c r="D136" t="n">
        <v>26.9</v>
      </c>
      <c r="E136" t="n">
        <v>83.40000000000001</v>
      </c>
      <c r="F136" t="n">
        <v>25.8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2025-11-27 01:17:30.615</t>
        </is>
      </c>
      <c r="B137" t="n">
        <v>52586</v>
      </c>
      <c r="C137" t="n">
        <v>81.59999999999999</v>
      </c>
      <c r="D137" t="n">
        <v>27</v>
      </c>
      <c r="E137" t="n">
        <v>83.40000000000001</v>
      </c>
      <c r="F137" t="n">
        <v>25.8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2025-11-27 01:17:30.946</t>
        </is>
      </c>
      <c r="B138" t="n">
        <v>52913</v>
      </c>
      <c r="C138" t="n">
        <v>81.59999999999999</v>
      </c>
      <c r="D138" t="n">
        <v>27</v>
      </c>
      <c r="E138" t="n">
        <v>83.40000000000001</v>
      </c>
      <c r="F138" t="n">
        <v>25.8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2025-11-27 01:17:31.272</t>
        </is>
      </c>
      <c r="B139" t="n">
        <v>53240</v>
      </c>
      <c r="C139" t="n">
        <v>81.59999999999999</v>
      </c>
      <c r="D139" t="n">
        <v>27</v>
      </c>
      <c r="E139" t="n">
        <v>83.40000000000001</v>
      </c>
      <c r="F139" t="n">
        <v>25.8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2025-11-27 01:17:31.641</t>
        </is>
      </c>
      <c r="B140" t="n">
        <v>53611</v>
      </c>
      <c r="C140" t="n">
        <v>81.7</v>
      </c>
      <c r="D140" t="n">
        <v>26.9</v>
      </c>
      <c r="E140" t="n">
        <v>83.40000000000001</v>
      </c>
      <c r="F140" t="n">
        <v>25.9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2025-11-27 01:17:31.992</t>
        </is>
      </c>
      <c r="B141" t="n">
        <v>53960</v>
      </c>
      <c r="C141" t="n">
        <v>81.7</v>
      </c>
      <c r="D141" t="n">
        <v>26.9</v>
      </c>
      <c r="E141" t="n">
        <v>83.40000000000001</v>
      </c>
      <c r="F141" t="n">
        <v>25.9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2025-11-27 01:17:32.316</t>
        </is>
      </c>
      <c r="B142" t="n">
        <v>54287</v>
      </c>
      <c r="C142" t="n">
        <v>81.7</v>
      </c>
      <c r="D142" t="n">
        <v>26.9</v>
      </c>
      <c r="E142" t="n">
        <v>83.40000000000001</v>
      </c>
      <c r="F142" t="n">
        <v>25.9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2025-11-27 01:17:32.687</t>
        </is>
      </c>
      <c r="B143" t="n">
        <v>54658</v>
      </c>
      <c r="C143" t="n">
        <v>81.7</v>
      </c>
      <c r="D143" t="n">
        <v>26.9</v>
      </c>
      <c r="E143" t="n">
        <v>83.40000000000001</v>
      </c>
      <c r="F143" t="n">
        <v>25.9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0" customWidth="1" min="4" max="4"/>
  </cols>
  <sheetData>
    <row r="1" ht="25" customHeight="1">
      <c r="A1" s="2" t="inlineStr">
        <is>
          <t>System Performance Metrics</t>
        </is>
      </c>
    </row>
    <row r="3">
      <c r="A3" s="3" t="inlineStr">
        <is>
          <t>Dehumidification Rate Analysis</t>
        </is>
      </c>
    </row>
    <row r="5">
      <c r="A5" s="4" t="inlineStr">
        <is>
          <t>Metric</t>
        </is>
      </c>
      <c r="B5" s="4" t="inlineStr">
        <is>
          <t>Container 1</t>
        </is>
      </c>
      <c r="C5" s="4" t="inlineStr">
        <is>
          <t>Container 2</t>
        </is>
      </c>
      <c r="D5" s="4" t="inlineStr">
        <is>
          <t>Unit</t>
        </is>
      </c>
    </row>
    <row r="6">
      <c r="A6" t="inlineStr">
        <is>
          <t>Avg Dehumid Rate (when ON)</t>
        </is>
      </c>
      <c r="B6">
        <f>AVERAGEIF('Raw Data'!$G$2:$G$143,1,'Raw Data'!$C$2:$C$143)</f>
        <v/>
      </c>
      <c r="C6">
        <f>AVERAGEIF('Raw Data'!$G$2:$G$143,1,'Raw Data'!$E$2:$E$143)</f>
        <v/>
      </c>
      <c r="D6" t="inlineStr">
        <is>
          <t>% RH</t>
        </is>
      </c>
    </row>
    <row r="7">
      <c r="A7" t="inlineStr">
        <is>
          <t>Max Humidity Recorded</t>
        </is>
      </c>
      <c r="B7">
        <f>MAX('Raw Data'!$C$2:$C$143)</f>
        <v/>
      </c>
      <c r="C7">
        <f>MAX('Raw Data'!$E$2:$E$143)</f>
        <v/>
      </c>
      <c r="D7" t="inlineStr">
        <is>
          <t>% RH</t>
        </is>
      </c>
    </row>
    <row r="8">
      <c r="A8" t="inlineStr">
        <is>
          <t>Min Humidity Recorded</t>
        </is>
      </c>
      <c r="B8">
        <f>MIN('Raw Data'!$C$2:$C$143)</f>
        <v/>
      </c>
      <c r="C8">
        <f>MIN('Raw Data'!$E$2:$E$143)</f>
        <v/>
      </c>
      <c r="D8" t="inlineStr">
        <is>
          <t>% RH</t>
        </is>
      </c>
    </row>
    <row r="10">
      <c r="A10" s="3" t="inlineStr">
        <is>
          <t>System Duty Cycle Analysis</t>
        </is>
      </c>
    </row>
    <row r="12">
      <c r="A12" s="4" t="inlineStr">
        <is>
          <t>Metric</t>
        </is>
      </c>
      <c r="B12" s="4" t="inlineStr">
        <is>
          <t>Value</t>
        </is>
      </c>
      <c r="C12" s="4" t="inlineStr">
        <is>
          <t>Unit</t>
        </is>
      </c>
    </row>
    <row r="13">
      <c r="A13" t="inlineStr">
        <is>
          <t>Total Data Points</t>
        </is>
      </c>
      <c r="B13">
        <f>COUNTA('Raw Data'!$G$2:$G$143)</f>
        <v/>
      </c>
      <c r="C13" t="inlineStr">
        <is>
          <t>samples</t>
        </is>
      </c>
    </row>
    <row r="14">
      <c r="A14" t="inlineStr">
        <is>
          <t>Fans ON Count</t>
        </is>
      </c>
      <c r="B14">
        <f>COUNTIF('Raw Data'!$G$2:$G$143,1)</f>
        <v/>
      </c>
      <c r="C14" t="inlineStr">
        <is>
          <t>samples</t>
        </is>
      </c>
    </row>
    <row r="15">
      <c r="A15" t="inlineStr">
        <is>
          <t>Duty Cycle</t>
        </is>
      </c>
      <c r="B15" s="5">
        <f>IF(B13&gt;0,(B14/B13)*100,0)</f>
        <v/>
      </c>
      <c r="C15" t="inlineStr">
        <is>
          <t>%</t>
        </is>
      </c>
    </row>
    <row r="16">
      <c r="A16" t="inlineStr">
        <is>
          <t>Total Running Time</t>
        </is>
      </c>
      <c r="B16" s="5">
        <f>(B14*0.1)/60</f>
        <v/>
      </c>
      <c r="C16" t="inlineStr">
        <is>
          <t>minutes</t>
        </is>
      </c>
    </row>
    <row r="18">
      <c r="A18" s="3" t="inlineStr">
        <is>
          <t>Temperature Impact Analysis</t>
        </is>
      </c>
    </row>
    <row r="20">
      <c r="A20" s="4" t="inlineStr">
        <is>
          <t>Metric</t>
        </is>
      </c>
      <c r="B20" s="4" t="inlineStr">
        <is>
          <t>Container 1</t>
        </is>
      </c>
      <c r="C20" s="4" t="inlineStr">
        <is>
          <t>Container 2</t>
        </is>
      </c>
      <c r="D20" s="4" t="inlineStr">
        <is>
          <t>Unit</t>
        </is>
      </c>
    </row>
    <row r="21">
      <c r="A21" t="inlineStr">
        <is>
          <t>Avg Temp (Fans OFF)</t>
        </is>
      </c>
      <c r="B21">
        <f>AVERAGEIF('Raw Data'!$G$2:$G$143,0,'Raw Data'!$D$2:$D$143)</f>
        <v/>
      </c>
      <c r="C21">
        <f>AVERAGEIF('Raw Data'!$G$2:$G$143,0,'Raw Data'!$F$2:$F$143)</f>
        <v/>
      </c>
      <c r="D21" t="inlineStr">
        <is>
          <t>°C</t>
        </is>
      </c>
    </row>
    <row r="22">
      <c r="A22" t="inlineStr">
        <is>
          <t>Avg Temp (Fans ON)</t>
        </is>
      </c>
      <c r="B22">
        <f>AVERAGEIF('Raw Data'!$G$2:$G$143,1,'Raw Data'!$D$2:$D$143)</f>
        <v/>
      </c>
      <c r="C22">
        <f>AVERAGEIF('Raw Data'!$G$2:$G$143,1,'Raw Data'!$F$2:$F$143)</f>
        <v/>
      </c>
      <c r="D22" t="inlineStr">
        <is>
          <t>°C</t>
        </is>
      </c>
    </row>
    <row r="23">
      <c r="A23" t="inlineStr">
        <is>
          <t>Temperature Drop</t>
        </is>
      </c>
      <c r="B23" s="5">
        <f>B21-B22</f>
        <v/>
      </c>
      <c r="C23" s="5">
        <f>C21-C22</f>
        <v/>
      </c>
      <c r="D23" t="inlineStr">
        <is>
          <t>°C</t>
        </is>
      </c>
    </row>
  </sheetData>
  <mergeCells count="4">
    <mergeCell ref="A1:D1"/>
    <mergeCell ref="A18:D18"/>
    <mergeCell ref="A3:D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Humidity Trends Over Time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Temperature During Dehumidification</t>
        </is>
      </c>
    </row>
    <row r="25">
      <c r="A25" s="7" t="inlineStr">
        <is>
          <t>Temperature Impact Summary</t>
        </is>
      </c>
    </row>
    <row r="27">
      <c r="A27" t="inlineStr">
        <is>
          <t>Container 1 Temp Drop:</t>
        </is>
      </c>
      <c r="B27" s="8">
        <f>Calculations!B23</f>
        <v/>
      </c>
    </row>
    <row r="28">
      <c r="A28" t="inlineStr">
        <is>
          <t>Container 2 Temp Drop:</t>
        </is>
      </c>
      <c r="B28" s="8">
        <f>Calculations!C23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System Activity Dashboard</t>
        </is>
      </c>
    </row>
    <row r="20">
      <c r="A20" s="9" t="inlineStr">
        <is>
          <t>System Performance Summary</t>
        </is>
      </c>
    </row>
    <row r="22">
      <c r="A22" t="inlineStr">
        <is>
          <t>Duty Cycle:</t>
        </is>
      </c>
      <c r="B22" s="10">
        <f>Calculations!B15</f>
        <v/>
      </c>
    </row>
    <row r="23">
      <c r="A23" t="inlineStr">
        <is>
          <t>Total Running Time:</t>
        </is>
      </c>
      <c r="B23" s="11">
        <f>Calculations!B16</f>
        <v/>
      </c>
    </row>
    <row r="24">
      <c r="A24" t="inlineStr">
        <is>
          <t>Total Data Points:</t>
        </is>
      </c>
      <c r="B24" s="12">
        <f>Calculations!B13</f>
        <v/>
      </c>
    </row>
    <row r="25">
      <c r="A25" t="inlineStr">
        <is>
          <t>Data Collection Time:</t>
        </is>
      </c>
      <c r="B25" s="13">
        <f>(Calculations!B13*0.1)/60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2025-11-26T19:47:32Z</dcterms:created>
  <dcterms:modified xsi:type="dcterms:W3CDTF">2025-11-26T19:47:32Z</dcterms:modified>
</cp:coreProperties>
</file>